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uantsougan/Desktop/H26/MEC8370/"/>
    </mc:Choice>
  </mc:AlternateContent>
  <xr:revisionPtr revIDLastSave="0" documentId="13_ncr:1_{AE891DC2-F831-E54F-BAAE-4DAFB65BE22F}" xr6:coauthVersionLast="47" xr6:coauthVersionMax="47" xr10:uidLastSave="{00000000-0000-0000-0000-000000000000}"/>
  <bookViews>
    <workbookView xWindow="0" yWindow="660" windowWidth="30240" windowHeight="18980" activeTab="2" xr2:uid="{33DE30A5-6622-9643-89DB-AB16DB4C99BA}"/>
  </bookViews>
  <sheets>
    <sheet name="Rapport de faisabilité 1" sheetId="2" r:id="rId1"/>
    <sheet name="Feuil1" sheetId="1" r:id="rId2"/>
    <sheet name="Transient analysis" sheetId="3" r:id="rId3"/>
  </sheets>
  <definedNames>
    <definedName name="solver_adj" localSheetId="1" hidden="1">Feuil1!$H$10:$H$19</definedName>
    <definedName name="solver_cvg" localSheetId="1" hidden="1">0.000001</definedName>
    <definedName name="solver_drv" localSheetId="1" hidden="1">1</definedName>
    <definedName name="solver_eng" localSheetId="1" hidden="1">1</definedName>
    <definedName name="solver_itr" localSheetId="1" hidden="1">2147483647</definedName>
    <definedName name="solver_lin" localSheetId="1" hidden="1">2</definedName>
    <definedName name="solver_mip" localSheetId="1" hidden="1">2147483647</definedName>
    <definedName name="solver_mni" localSheetId="1" hidden="1">30</definedName>
    <definedName name="solver_mrt" localSheetId="1" hidden="1">0.1</definedName>
    <definedName name="solver_msl" localSheetId="1" hidden="1">2</definedName>
    <definedName name="solver_neg" localSheetId="1" hidden="1">2</definedName>
    <definedName name="solver_nod" localSheetId="1" hidden="1">2147483647</definedName>
    <definedName name="solver_num" localSheetId="1" hidden="1">0</definedName>
    <definedName name="solver_opt" localSheetId="1" hidden="1">Feuil1!$M$21</definedName>
    <definedName name="solver_pre" localSheetId="1" hidden="1">0.001</definedName>
    <definedName name="solver_rbv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val" localSheetId="1" hidden="1">0</definedName>
    <definedName name="solver_ver" localSheetId="1" hidden="1">2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3" l="1"/>
  <c r="C5" i="3"/>
  <c r="C4" i="3"/>
  <c r="G5" i="3" s="1"/>
  <c r="S11" i="1"/>
  <c r="T11" i="1" s="1"/>
  <c r="R11" i="1"/>
  <c r="R15" i="1"/>
  <c r="S15" i="1" s="1"/>
  <c r="T15" i="1" s="1"/>
  <c r="R14" i="1"/>
  <c r="S14" i="1" s="1"/>
  <c r="T14" i="1" s="1"/>
  <c r="R13" i="1"/>
  <c r="S13" i="1" s="1"/>
  <c r="T13" i="1" s="1"/>
  <c r="R12" i="1"/>
  <c r="S12" i="1" s="1"/>
  <c r="T12" i="1" s="1"/>
  <c r="R10" i="1"/>
  <c r="S10" i="1" s="1"/>
  <c r="T10" i="1" s="1"/>
  <c r="H36" i="1"/>
  <c r="H38" i="1"/>
  <c r="H37" i="1"/>
  <c r="H35" i="1"/>
  <c r="H34" i="1"/>
  <c r="H33" i="1"/>
  <c r="H32" i="1"/>
  <c r="H31" i="1"/>
  <c r="H29" i="1"/>
  <c r="H30" i="1"/>
  <c r="H28" i="1"/>
  <c r="K16" i="1"/>
  <c r="L16" i="1" s="1"/>
  <c r="M10" i="1"/>
  <c r="M15" i="1"/>
  <c r="M14" i="1"/>
  <c r="M13" i="1"/>
  <c r="M12" i="1"/>
  <c r="M11" i="1"/>
  <c r="K19" i="1"/>
  <c r="L19" i="1" s="1"/>
  <c r="K18" i="1"/>
  <c r="L18" i="1" s="1"/>
  <c r="K17" i="1"/>
  <c r="L17" i="1" s="1"/>
  <c r="J15" i="1"/>
  <c r="J14" i="1"/>
  <c r="J13" i="1"/>
  <c r="J12" i="1"/>
  <c r="J11" i="1"/>
  <c r="J10" i="1"/>
  <c r="I15" i="1"/>
  <c r="I14" i="1"/>
  <c r="I13" i="1"/>
  <c r="I12" i="1"/>
  <c r="I11" i="1"/>
  <c r="I10" i="1"/>
  <c r="B7" i="1" l="1"/>
  <c r="K15" i="1" s="1"/>
  <c r="K11" i="1" l="1"/>
  <c r="L11" i="1" s="1"/>
  <c r="K10" i="1"/>
  <c r="L15" i="1"/>
  <c r="K13" i="1"/>
  <c r="L13" i="1" s="1"/>
  <c r="K12" i="1"/>
  <c r="L12" i="1" s="1"/>
  <c r="K14" i="1"/>
  <c r="L14" i="1" s="1"/>
  <c r="K24" i="1" l="1"/>
  <c r="L10" i="1"/>
  <c r="M21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<sst xmlns="http://schemas.openxmlformats.org/spreadsheetml/2006/main" count="107" uniqueCount="93">
  <si>
    <t>Flux solaire maximal (G_s) (W/m^2)</t>
  </si>
  <si>
    <t>Constante de stefan-Boltzmann (sigma) (s.u.)</t>
  </si>
  <si>
    <t>Flux IR terre (W/m^2)</t>
  </si>
  <si>
    <t>Epaisseur peau aluminium (m)</t>
  </si>
  <si>
    <t>Conductivité Aluminium 6061 (K-alu)(W/m.K)</t>
  </si>
  <si>
    <t>Surface par face (m^2)</t>
  </si>
  <si>
    <t>Conductance  (W/K)</t>
  </si>
  <si>
    <t>Bloc des constantes</t>
  </si>
  <si>
    <t>Nadir +Z</t>
  </si>
  <si>
    <t>Zénith -Z</t>
  </si>
  <si>
    <t>Sun +Y</t>
  </si>
  <si>
    <t>Anti-Sun -Y</t>
  </si>
  <si>
    <t>Velocity +X</t>
  </si>
  <si>
    <t>Anti-Velocity -X</t>
  </si>
  <si>
    <t>Nom de la face</t>
  </si>
  <si>
    <t>Dissipation interne (W)</t>
  </si>
  <si>
    <t>Émissivité</t>
  </si>
  <si>
    <t>Absorptivité</t>
  </si>
  <si>
    <t>Facteur de vue Espace</t>
  </si>
  <si>
    <t>Facteur de vue terre</t>
  </si>
  <si>
    <t>Facteur de vue soleil</t>
  </si>
  <si>
    <t>Temperature (K) [GUESS]</t>
  </si>
  <si>
    <t>Q_env</t>
  </si>
  <si>
    <t>Q_rad_out</t>
  </si>
  <si>
    <t>Q_cond (chq face avec son voisin)</t>
  </si>
  <si>
    <t>Q_net</t>
  </si>
  <si>
    <t>Erreur totale</t>
  </si>
  <si>
    <t>Emissivité interne</t>
  </si>
  <si>
    <t>Radiation interne (avec Fij)</t>
  </si>
  <si>
    <t>coeff Albédo Terre</t>
  </si>
  <si>
    <t>Facteur de vue albédo</t>
  </si>
  <si>
    <t>Payload découplé</t>
  </si>
  <si>
    <t>Conductance des rondelles isolantes</t>
  </si>
  <si>
    <t>Conductance de la tresse thermique</t>
  </si>
  <si>
    <t>Microsoft Excel 16.106 Rapport de faisabilité</t>
  </si>
  <si>
    <t>Feuille : [Méthode des 6 noeuds thermiques_Avec découplage.xlsx]Feuil1</t>
  </si>
  <si>
    <t>Date du rapport : 10/03/2026 11:32:19</t>
  </si>
  <si>
    <t>Contraintes rendant le problème irréalisable</t>
  </si>
  <si>
    <t>Cellule</t>
  </si>
  <si>
    <t>Nom</t>
  </si>
  <si>
    <t>Valeur de la cellule</t>
  </si>
  <si>
    <t>Formule</t>
  </si>
  <si>
    <t>État</t>
  </si>
  <si>
    <t>Marge</t>
  </si>
  <si>
    <t>Conductance de montage (W/K)</t>
  </si>
  <si>
    <t>Batteries et OBC</t>
  </si>
  <si>
    <t>GNC</t>
  </si>
  <si>
    <t>TT&amp;C</t>
  </si>
  <si>
    <t>Température (°C)</t>
  </si>
  <si>
    <t>Analyse et preuve</t>
  </si>
  <si>
    <t>Le panneau chauffe sous l'effet de l'IR de la terre</t>
  </si>
  <si>
    <t>Le radiateur fait son job c'est notre puits de froid</t>
  </si>
  <si>
    <t>Face la plus chaude, mais le MLI protège l'intérieur</t>
  </si>
  <si>
    <t>Face naturellement tempérée</t>
  </si>
  <si>
    <t>Chauffé par l'équipement GNC</t>
  </si>
  <si>
    <t>Chauffé par l'équipement TTnC</t>
  </si>
  <si>
    <t>Le découplage thermique fonctionne</t>
  </si>
  <si>
    <t>OBC</t>
  </si>
  <si>
    <t>Batteries</t>
  </si>
  <si>
    <t>itv de température de départ</t>
  </si>
  <si>
    <t>itv respecté (O/N)?</t>
  </si>
  <si>
    <t>-30 à 65°C</t>
  </si>
  <si>
    <t>-25 à + 70°C</t>
  </si>
  <si>
    <t>-20 à + 45°C</t>
  </si>
  <si>
    <t>-20 à +70°C</t>
  </si>
  <si>
    <t>0 à +30°C</t>
  </si>
  <si>
    <t>O</t>
  </si>
  <si>
    <t>Colonne1</t>
  </si>
  <si>
    <t>Colonne2</t>
  </si>
  <si>
    <t>Colonne3</t>
  </si>
  <si>
    <t>Colonne4</t>
  </si>
  <si>
    <t>Colonne5</t>
  </si>
  <si>
    <t>Colonne6</t>
  </si>
  <si>
    <t>Vu qu'on a 0, les équations compute sont bonnes</t>
  </si>
  <si>
    <t>Absoptivité externe</t>
  </si>
  <si>
    <t>Emissivité externe</t>
  </si>
  <si>
    <t>Chaleur externe absorbée(Q_abs-ext)</t>
  </si>
  <si>
    <t>T_ext</t>
  </si>
  <si>
    <t>T_ext (°C)</t>
  </si>
  <si>
    <t>Transient analysis</t>
  </si>
  <si>
    <t>Delta t</t>
  </si>
  <si>
    <t>m</t>
  </si>
  <si>
    <t>Cp</t>
  </si>
  <si>
    <t>Tmax</t>
  </si>
  <si>
    <t>Tnom</t>
  </si>
  <si>
    <t>Gs</t>
  </si>
  <si>
    <t>Alpha</t>
  </si>
  <si>
    <t>A</t>
  </si>
  <si>
    <t>teta</t>
  </si>
  <si>
    <t>EN SECONDES</t>
  </si>
  <si>
    <t>Teta varierait entre 0° et 90°C</t>
  </si>
  <si>
    <t>Représente le temps qu' on a avant de passer de la température du radiateur en mode nominal (-22°C) à 30°C. 30°C étant la limite supérieure du payload</t>
  </si>
  <si>
    <t>La formule vient du premier principe de la thernodynamique et de la loi de stefan-boltzmann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</si>
</sst>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000"/>
    <numFmt numFmtId="166" formatCode="0.00000E+00"/>
    <numFmt numFmtId="167" formatCode="0.0000000E+00"/>
    <numFmt numFmtId="168" formatCode="0.000000E+00"/>
  </numFmts>
  <fonts count="9" x14ac:knownFonts="1">
    <font>
      <sz val="12"/>
      <color theme="1"/>
      <name val="Aptos Narrow"/>
      <family val="2"/>
      <scheme val="minor"/>
    </font>
    <font>
      <sz val="12"/>
      <color rgb="FFFF0000"/>
      <name val="Aptos Narrow (Corps)"/>
    </font>
    <font>
      <sz val="12"/>
      <color theme="5" tint="-0.249977111117893"/>
      <name val="Aptos Narrow (Corps)"/>
    </font>
    <font>
      <sz val="20"/>
      <color rgb="FFFF0000"/>
      <name val="Aptos Narrow (Corps)"/>
    </font>
    <font>
      <sz val="12"/>
      <color rgb="FF000000"/>
      <name val="Aptos Narrow"/>
      <scheme val="minor"/>
    </font>
    <font>
      <b/>
      <sz val="12"/>
      <color theme="1"/>
      <name val="Aptos Narrow"/>
      <scheme val="minor"/>
    </font>
    <font>
      <b/>
      <sz val="12"/>
      <color indexed="18"/>
      <name val="Aptos Narrow"/>
      <family val="2"/>
      <scheme val="minor"/>
    </font>
    <font>
      <sz val="10"/>
      <color rgb="FF000000"/>
      <name val="Arial Unicode MS"/>
      <family val="2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20">
    <xf numFmtId="0" fontId="0" fillId="0" borderId="0" xfId="0"/>
    <xf numFmtId="11" fontId="0" fillId="0" borderId="0" xfId="0" applyNumberForma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8" fontId="4" fillId="0" borderId="0" xfId="0" applyNumberFormat="1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1" xfId="0" applyFont="1" applyBorder="1" applyAlignment="1">
      <alignment horizontal="center"/>
    </xf>
    <xf numFmtId="0" fontId="7" fillId="0" borderId="0" xfId="0" applyFont="1"/>
    <xf numFmtId="0" fontId="0" fillId="0" borderId="0" xfId="0" quotePrefix="1"/>
    <xf numFmtId="2" fontId="0" fillId="0" borderId="0" xfId="0" applyNumberForma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8" fillId="0" borderId="0" xfId="0" applyFont="1"/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50C84E-A8F2-A04F-BA72-203F2FAA7ECF}" name="Tableau3" displayName="Tableau3" ref="G26:L38" totalsRowShown="0">
  <autoFilter ref="G26:L38" xr:uid="{3B50C84E-A8F2-A04F-BA72-203F2FAA7ECF}"/>
  <tableColumns count="6">
    <tableColumn id="1" xr3:uid="{8783B990-D701-7E42-9A61-570D4AF1FB17}" name="Colonne1"/>
    <tableColumn id="2" xr3:uid="{04BDD01E-5014-9443-A2B9-C6B5B4697EC0}" name="Colonne2"/>
    <tableColumn id="3" xr3:uid="{8BD2271B-C541-5B4D-813B-2B62857201C9}" name="Colonne3" dataDxfId="1"/>
    <tableColumn id="4" xr3:uid="{3DE12DC4-AD24-A348-A294-BFD273E73558}" name="Colonne4" dataDxfId="0"/>
    <tableColumn id="5" xr3:uid="{6C03C57E-29EA-E946-B201-2223D3FF4AE7}" name="Colonne5"/>
    <tableColumn id="6" xr3:uid="{E2375582-1D73-FA4E-AC5A-8E9E517D339F}" name="Colonne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2FF36-7F33-7341-A5C4-A3756ACED9C0}">
  <dimension ref="A1:G7"/>
  <sheetViews>
    <sheetView showGridLines="0" workbookViewId="0">
      <selection activeCell="D7" sqref="D7"/>
    </sheetView>
  </sheetViews>
  <sheetFormatPr baseColWidth="10" defaultRowHeight="16" x14ac:dyDescent="0.2"/>
  <cols>
    <col min="1" max="1" width="2.33203125" customWidth="1"/>
    <col min="2" max="2" width="7" bestFit="1" customWidth="1"/>
    <col min="3" max="3" width="5.1640625" bestFit="1" customWidth="1"/>
    <col min="4" max="4" width="16.6640625" bestFit="1" customWidth="1"/>
    <col min="5" max="5" width="8" bestFit="1" customWidth="1"/>
    <col min="6" max="6" width="4.5" bestFit="1" customWidth="1"/>
    <col min="7" max="7" width="6.33203125" bestFit="1" customWidth="1"/>
  </cols>
  <sheetData>
    <row r="1" spans="1:7" x14ac:dyDescent="0.2">
      <c r="A1" s="10" t="s">
        <v>34</v>
      </c>
    </row>
    <row r="2" spans="1:7" x14ac:dyDescent="0.2">
      <c r="A2" s="10" t="s">
        <v>35</v>
      </c>
    </row>
    <row r="3" spans="1:7" x14ac:dyDescent="0.2">
      <c r="A3" s="10" t="s">
        <v>36</v>
      </c>
    </row>
    <row r="6" spans="1:7" ht="17" thickBot="1" x14ac:dyDescent="0.25">
      <c r="A6" t="s">
        <v>37</v>
      </c>
    </row>
    <row r="7" spans="1:7" ht="17" thickBot="1" x14ac:dyDescent="0.25">
      <c r="B7" s="11" t="s">
        <v>38</v>
      </c>
      <c r="C7" s="11" t="s">
        <v>39</v>
      </c>
      <c r="D7" s="11" t="s">
        <v>40</v>
      </c>
      <c r="E7" s="11" t="s">
        <v>41</v>
      </c>
      <c r="F7" s="11" t="s">
        <v>42</v>
      </c>
      <c r="G7" s="1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FEECD-A76E-A04F-86F3-E1209EB5E05F}">
  <dimension ref="A1:T38"/>
  <sheetViews>
    <sheetView topLeftCell="A11" workbookViewId="0">
      <selection activeCell="H29" sqref="H29"/>
    </sheetView>
  </sheetViews>
  <sheetFormatPr baseColWidth="10" defaultRowHeight="16" x14ac:dyDescent="0.2"/>
  <cols>
    <col min="1" max="1" width="52.6640625" customWidth="1"/>
    <col min="2" max="2" width="23" customWidth="1"/>
    <col min="3" max="3" width="44" customWidth="1"/>
    <col min="4" max="4" width="24.83203125" customWidth="1"/>
    <col min="5" max="5" width="18.83203125" customWidth="1"/>
    <col min="6" max="6" width="20.5" customWidth="1"/>
    <col min="7" max="7" width="25.83203125" customWidth="1"/>
    <col min="8" max="8" width="18.5" customWidth="1"/>
    <col min="9" max="9" width="17.6640625" customWidth="1"/>
    <col min="10" max="10" width="27.5" customWidth="1"/>
    <col min="11" max="11" width="31.1640625" customWidth="1"/>
    <col min="12" max="13" width="23.5" customWidth="1"/>
    <col min="14" max="14" width="19.1640625" customWidth="1"/>
    <col min="15" max="15" width="11.5" customWidth="1"/>
    <col min="16" max="16" width="24.5" customWidth="1"/>
    <col min="17" max="17" width="16.33203125" customWidth="1"/>
    <col min="18" max="18" width="39.5" customWidth="1"/>
    <col min="19" max="19" width="17" customWidth="1"/>
  </cols>
  <sheetData>
    <row r="1" spans="1:20" x14ac:dyDescent="0.2">
      <c r="A1" t="s">
        <v>1</v>
      </c>
      <c r="B1" s="1">
        <v>5.6699999999999998E-8</v>
      </c>
      <c r="C1" t="s">
        <v>29</v>
      </c>
      <c r="D1">
        <v>0.35</v>
      </c>
    </row>
    <row r="2" spans="1:20" x14ac:dyDescent="0.2">
      <c r="A2" t="s">
        <v>0</v>
      </c>
      <c r="B2">
        <v>1418</v>
      </c>
      <c r="C2" t="s">
        <v>32</v>
      </c>
      <c r="D2">
        <v>0.05</v>
      </c>
    </row>
    <row r="3" spans="1:20" x14ac:dyDescent="0.2">
      <c r="A3" t="s">
        <v>2</v>
      </c>
      <c r="B3">
        <v>258</v>
      </c>
      <c r="C3" t="s">
        <v>33</v>
      </c>
      <c r="D3">
        <v>0.5</v>
      </c>
      <c r="E3" s="15" t="s">
        <v>7</v>
      </c>
      <c r="F3" s="16"/>
      <c r="G3" s="16"/>
    </row>
    <row r="4" spans="1:20" x14ac:dyDescent="0.2">
      <c r="A4" t="s">
        <v>3</v>
      </c>
      <c r="B4">
        <v>2E-3</v>
      </c>
      <c r="C4" t="s">
        <v>44</v>
      </c>
      <c r="D4">
        <v>20</v>
      </c>
      <c r="E4" s="16"/>
      <c r="F4" s="16"/>
      <c r="G4" s="16"/>
    </row>
    <row r="5" spans="1:20" x14ac:dyDescent="0.2">
      <c r="A5" t="s">
        <v>4</v>
      </c>
      <c r="B5">
        <v>167</v>
      </c>
      <c r="E5" s="16"/>
      <c r="F5" s="16"/>
      <c r="G5" s="16"/>
    </row>
    <row r="6" spans="1:20" x14ac:dyDescent="0.2">
      <c r="A6" t="s">
        <v>5</v>
      </c>
      <c r="B6">
        <v>1</v>
      </c>
    </row>
    <row r="7" spans="1:20" x14ac:dyDescent="0.2">
      <c r="A7" s="2" t="s">
        <v>6</v>
      </c>
      <c r="B7">
        <f>B5*B4</f>
        <v>0.33400000000000002</v>
      </c>
    </row>
    <row r="8" spans="1:20" x14ac:dyDescent="0.2">
      <c r="A8" t="s">
        <v>27</v>
      </c>
      <c r="B8">
        <v>0.8</v>
      </c>
    </row>
    <row r="9" spans="1:20" x14ac:dyDescent="0.2">
      <c r="A9" t="s">
        <v>14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 t="s">
        <v>28</v>
      </c>
      <c r="N9" t="s">
        <v>30</v>
      </c>
      <c r="P9" t="s">
        <v>74</v>
      </c>
      <c r="Q9" t="s">
        <v>75</v>
      </c>
      <c r="R9" t="s">
        <v>76</v>
      </c>
      <c r="S9" t="s">
        <v>77</v>
      </c>
      <c r="T9" t="s">
        <v>78</v>
      </c>
    </row>
    <row r="10" spans="1:20" x14ac:dyDescent="0.2">
      <c r="A10" t="s">
        <v>8</v>
      </c>
      <c r="B10">
        <v>0</v>
      </c>
      <c r="C10">
        <v>0.05</v>
      </c>
      <c r="D10">
        <v>0.05</v>
      </c>
      <c r="E10">
        <v>0.3</v>
      </c>
      <c r="F10">
        <v>0.7</v>
      </c>
      <c r="G10">
        <v>0</v>
      </c>
      <c r="H10">
        <v>313.50303628951229</v>
      </c>
      <c r="I10" s="3">
        <f t="shared" ref="I10:I15" si="0">($B$2*D10*$B$6*G10) + ($B$3*C10*$B$6*F10)+($B$2 * $D$1 * D10 * $B$6 * N10)</f>
        <v>12.752249999999998</v>
      </c>
      <c r="J10" s="5">
        <f t="shared" ref="J10:J15" si="1">$B$1 * C10 * $B$6 * E10 * (H10^4)</f>
        <v>8.2156385361702071</v>
      </c>
      <c r="K10" s="4">
        <f>$B$7 * ((H12-H10) + (H13-H10) + (H14-H10) + (H15-H10)) + $D$2*(H16-H10)</f>
        <v>8.30485117714721</v>
      </c>
      <c r="L10" s="6">
        <f>B10+I10+K10-J10-M10</f>
        <v>-0.12817134114941986</v>
      </c>
      <c r="M10" s="7">
        <f xml:space="preserve"> $B$1 * ($B$8^2) * $B$6 * 0.2 * ( 5*(H10^4) - (H11^4 + H12^4 + H13^4 + H14^4 + H15^4))</f>
        <v>12.969633982126423</v>
      </c>
      <c r="N10">
        <v>0.15</v>
      </c>
      <c r="P10">
        <v>0.55000000000000004</v>
      </c>
      <c r="Q10">
        <v>0.8</v>
      </c>
      <c r="R10">
        <f t="shared" ref="R10:R15" si="2" xml:space="preserve"> ($B$2 * P10 * $B$6 * G10) + ($B$3 * Q10 * $B$6 * F10) + ($B$2 * $D$1 * P10 * $B$6 * N10)</f>
        <v>185.42474999999999</v>
      </c>
      <c r="S10" s="14">
        <f xml:space="preserve"> ( R10 / ($B$1 * Q10 * $B$6) )^(1/4)</f>
        <v>252.85623325858361</v>
      </c>
      <c r="T10" s="14">
        <f t="shared" ref="T10:T15" si="3" xml:space="preserve"> S10-273.15</f>
        <v>-20.293766741416363</v>
      </c>
    </row>
    <row r="11" spans="1:20" x14ac:dyDescent="0.2">
      <c r="A11" t="s">
        <v>9</v>
      </c>
      <c r="B11">
        <v>0</v>
      </c>
      <c r="C11">
        <v>0.5</v>
      </c>
      <c r="D11">
        <v>0.1</v>
      </c>
      <c r="E11">
        <v>1</v>
      </c>
      <c r="F11">
        <v>0</v>
      </c>
      <c r="G11">
        <v>0</v>
      </c>
      <c r="H11">
        <v>251.04641037706949</v>
      </c>
      <c r="I11" s="3">
        <f t="shared" si="0"/>
        <v>0</v>
      </c>
      <c r="J11" s="5">
        <f t="shared" si="1"/>
        <v>112.6079693536259</v>
      </c>
      <c r="K11" s="4">
        <f>$B$7 * ((H12-H11) + (H13-H11) + (H14-H11) + (H15-H11)) + $D$3*(H16-H11)</f>
        <v>113.03802578090431</v>
      </c>
      <c r="L11" s="6">
        <f t="shared" ref="L11:L16" si="4">B11+I11+K11-J11</f>
        <v>0.43005642727840154</v>
      </c>
      <c r="M11" s="8">
        <f>$B$1 * ($B$8^2) * $B$6 * 0.2 * ( 5*(H11^4) - (H10^4 + H12^4 + H13^4 + H14^4 + H15^4) )</f>
        <v>-234.70521814261892</v>
      </c>
      <c r="N11">
        <v>0</v>
      </c>
      <c r="P11">
        <v>0.14000000000000001</v>
      </c>
      <c r="Q11">
        <v>0.8</v>
      </c>
      <c r="R11">
        <f t="shared" si="2"/>
        <v>0</v>
      </c>
      <c r="S11" s="14">
        <f xml:space="preserve"> H11</f>
        <v>251.04641037706949</v>
      </c>
      <c r="T11" s="14">
        <f t="shared" si="3"/>
        <v>-22.103589622930485</v>
      </c>
    </row>
    <row r="12" spans="1:20" x14ac:dyDescent="0.2">
      <c r="A12" t="s">
        <v>10</v>
      </c>
      <c r="B12">
        <v>0</v>
      </c>
      <c r="C12">
        <v>0.05</v>
      </c>
      <c r="D12">
        <v>0.05</v>
      </c>
      <c r="E12">
        <v>0.7</v>
      </c>
      <c r="F12">
        <v>0.3</v>
      </c>
      <c r="G12">
        <v>1</v>
      </c>
      <c r="H12">
        <v>337.50748294932208</v>
      </c>
      <c r="I12" s="3">
        <f t="shared" si="0"/>
        <v>74.77000000000001</v>
      </c>
      <c r="J12" s="5">
        <f t="shared" si="1"/>
        <v>25.750444352497784</v>
      </c>
      <c r="K12" s="4">
        <f>$B$7 * ((H10-H12) + (H11-H12) + (H14-H12) + (H15-H12))</f>
        <v>-49.08234395296509</v>
      </c>
      <c r="L12" s="6">
        <f t="shared" si="4"/>
        <v>-6.2788305462863292E-2</v>
      </c>
      <c r="M12" s="7">
        <f>$B$1 * ($B$8^2) * $B$6 * 0.2 * ( 5*(H12^4) - (H11^4 + H10^4 + H13^4 + H14^4 + H15^4) )</f>
        <v>157.36726272216313</v>
      </c>
      <c r="N12">
        <v>0</v>
      </c>
      <c r="P12">
        <v>0.55000000000000004</v>
      </c>
      <c r="Q12">
        <v>0.8</v>
      </c>
      <c r="R12">
        <f t="shared" si="2"/>
        <v>841.82</v>
      </c>
      <c r="S12" s="14">
        <f xml:space="preserve"> ( R12 / ($B$1 * Q12 * $B$6) )^(1/4)</f>
        <v>369.09362865539009</v>
      </c>
      <c r="T12" s="14">
        <f t="shared" si="3"/>
        <v>95.943628655390114</v>
      </c>
    </row>
    <row r="13" spans="1:20" x14ac:dyDescent="0.2">
      <c r="A13" t="s">
        <v>11</v>
      </c>
      <c r="B13">
        <v>0</v>
      </c>
      <c r="C13">
        <v>0.05</v>
      </c>
      <c r="D13">
        <v>0.05</v>
      </c>
      <c r="E13">
        <v>0.7</v>
      </c>
      <c r="F13">
        <v>0.3</v>
      </c>
      <c r="G13">
        <v>0</v>
      </c>
      <c r="H13">
        <v>306.1479118559642</v>
      </c>
      <c r="I13" s="3">
        <f t="shared" si="0"/>
        <v>3.87</v>
      </c>
      <c r="J13" s="5">
        <f t="shared" si="1"/>
        <v>17.433167767451387</v>
      </c>
      <c r="K13" s="4">
        <f>$B$7 * ((H10-H13) + (H11-H13) + (H14-H13) + (H15-H13)) + $D$4*(H17 - H13)</f>
        <v>13.652152775166769</v>
      </c>
      <c r="L13" s="6">
        <f t="shared" si="4"/>
        <v>8.8985007715383091E-2</v>
      </c>
      <c r="M13" s="7">
        <f>$B$1 * ($B$8^2) * $B$6 * 0.2 * ( 5*(H13^4) - (H11^4 + H12^4 + H10^4 + H14^4 + H15^4) )</f>
        <v>-25.13754920114064</v>
      </c>
      <c r="N13">
        <v>0</v>
      </c>
      <c r="P13">
        <v>0.55000000000000004</v>
      </c>
      <c r="Q13">
        <v>0.8</v>
      </c>
      <c r="R13">
        <f t="shared" si="2"/>
        <v>61.92</v>
      </c>
      <c r="S13" s="14">
        <f xml:space="preserve"> ( R13 / ($B$1 * Q13 * $B$6) )^(1/4)</f>
        <v>192.21597347661685</v>
      </c>
      <c r="T13" s="14">
        <f t="shared" si="3"/>
        <v>-80.934026523383125</v>
      </c>
    </row>
    <row r="14" spans="1:20" x14ac:dyDescent="0.2">
      <c r="A14" t="s">
        <v>12</v>
      </c>
      <c r="B14">
        <v>0</v>
      </c>
      <c r="C14">
        <v>0.05</v>
      </c>
      <c r="D14">
        <v>0.05</v>
      </c>
      <c r="E14">
        <v>0.7</v>
      </c>
      <c r="F14">
        <v>0.3</v>
      </c>
      <c r="G14">
        <v>0</v>
      </c>
      <c r="H14">
        <v>319.62248329962102</v>
      </c>
      <c r="I14" s="3">
        <f t="shared" si="0"/>
        <v>5.1107500000000003</v>
      </c>
      <c r="J14" s="5">
        <f t="shared" si="1"/>
        <v>20.710967584374472</v>
      </c>
      <c r="K14" s="4">
        <f>$B$7 * ((H10-H14) + (H11-H14) + (H12-H14) + (H13-H14)) + $D$4*(H18 - H14)</f>
        <v>15.802565027834135</v>
      </c>
      <c r="L14" s="6">
        <f t="shared" si="4"/>
        <v>0.20234744345966149</v>
      </c>
      <c r="M14" s="7">
        <f>$B$1 * ($B$8^2) * $B$6 * 0.2 * ( 5*(H14^4) - (H11^4 + H12^4 + H13^4 + H10^4 + H15^4) )</f>
        <v>46.786743924485911</v>
      </c>
      <c r="N14">
        <v>0.05</v>
      </c>
      <c r="P14">
        <v>0.55000000000000004</v>
      </c>
      <c r="Q14">
        <v>0.8</v>
      </c>
      <c r="R14">
        <f t="shared" si="2"/>
        <v>75.568250000000006</v>
      </c>
      <c r="S14" s="14">
        <f xml:space="preserve"> ( R14 / ($B$1 * Q14 * $B$6) )^(1/4)</f>
        <v>202.03033304935761</v>
      </c>
      <c r="T14" s="14">
        <f t="shared" si="3"/>
        <v>-71.119666950642369</v>
      </c>
    </row>
    <row r="15" spans="1:20" x14ac:dyDescent="0.2">
      <c r="A15" t="s">
        <v>13</v>
      </c>
      <c r="B15">
        <v>0</v>
      </c>
      <c r="C15">
        <v>0.05</v>
      </c>
      <c r="D15">
        <v>0.05</v>
      </c>
      <c r="E15">
        <v>0.7</v>
      </c>
      <c r="F15">
        <v>0.3</v>
      </c>
      <c r="G15">
        <v>0</v>
      </c>
      <c r="H15">
        <v>318.90487622340561</v>
      </c>
      <c r="I15" s="3">
        <f t="shared" si="0"/>
        <v>5.1107500000000003</v>
      </c>
      <c r="J15" s="5">
        <f t="shared" si="1"/>
        <v>20.525594404253951</v>
      </c>
      <c r="K15" s="4">
        <f>$B$7 * ((H10-H15) + (H11-H15) + (H12-H15) + (H13-H15))+ $D4*(H19 - H15)</f>
        <v>15.285473033659336</v>
      </c>
      <c r="L15" s="6">
        <f t="shared" si="4"/>
        <v>-0.12937137059461534</v>
      </c>
      <c r="M15" s="7">
        <f>$B$1 * ($B$8^2) * $B$6 * 0.2 * ( 5*(H15^4) - (H11^4 + H12^4 + H13^4 + H14^4 + H10^4) )</f>
        <v>42.719126714984185</v>
      </c>
      <c r="N15">
        <v>0.05</v>
      </c>
      <c r="P15">
        <v>0.55000000000000004</v>
      </c>
      <c r="Q15">
        <v>0.8</v>
      </c>
      <c r="R15">
        <f t="shared" si="2"/>
        <v>75.568250000000006</v>
      </c>
      <c r="S15" s="14">
        <f xml:space="preserve"> ( R15 / ($B$1 * Q15 * $B$6) )^(1/4)</f>
        <v>202.03033304935761</v>
      </c>
      <c r="T15" s="14">
        <f t="shared" si="3"/>
        <v>-71.119666950642369</v>
      </c>
    </row>
    <row r="16" spans="1:20" x14ac:dyDescent="0.2">
      <c r="A16" t="s">
        <v>31</v>
      </c>
      <c r="B16">
        <v>19</v>
      </c>
      <c r="C16">
        <v>0</v>
      </c>
      <c r="D16">
        <v>0</v>
      </c>
      <c r="E16">
        <v>0</v>
      </c>
      <c r="F16">
        <v>0</v>
      </c>
      <c r="G16">
        <v>0</v>
      </c>
      <c r="H16">
        <v>291.42039057509476</v>
      </c>
      <c r="I16">
        <v>0</v>
      </c>
      <c r="J16" s="5">
        <v>0</v>
      </c>
      <c r="K16">
        <f>$D$2*(H10-H16) + $D$3*(H11-H16)</f>
        <v>-19.082857813291756</v>
      </c>
      <c r="L16" s="6">
        <f t="shared" si="4"/>
        <v>-8.2857813291756344E-2</v>
      </c>
      <c r="M16">
        <v>0</v>
      </c>
    </row>
    <row r="17" spans="1:13" ht="17" x14ac:dyDescent="0.25">
      <c r="A17" t="s">
        <v>45</v>
      </c>
      <c r="B17">
        <v>21</v>
      </c>
      <c r="C17">
        <v>0</v>
      </c>
      <c r="D17">
        <v>0</v>
      </c>
      <c r="E17">
        <v>0</v>
      </c>
      <c r="F17">
        <v>0</v>
      </c>
      <c r="G17">
        <v>0</v>
      </c>
      <c r="H17">
        <v>307.18981734333448</v>
      </c>
      <c r="I17">
        <v>0</v>
      </c>
      <c r="J17" s="5">
        <v>0</v>
      </c>
      <c r="K17" s="12">
        <f xml:space="preserve"> $D$4 * (H13 - H17)</f>
        <v>-20.838109747405724</v>
      </c>
      <c r="L17" s="6">
        <f t="shared" ref="L17:L19" si="5">B17+I17+K17-J17</f>
        <v>0.16189025259427581</v>
      </c>
      <c r="M17">
        <v>0</v>
      </c>
    </row>
    <row r="18" spans="1:13" x14ac:dyDescent="0.2">
      <c r="A18" t="s">
        <v>46</v>
      </c>
      <c r="B18">
        <v>39.5</v>
      </c>
      <c r="C18">
        <v>0</v>
      </c>
      <c r="D18">
        <v>0</v>
      </c>
      <c r="E18">
        <v>0</v>
      </c>
      <c r="F18">
        <v>0</v>
      </c>
      <c r="G18">
        <v>0</v>
      </c>
      <c r="H18">
        <v>321.58637258284722</v>
      </c>
      <c r="I18">
        <v>0</v>
      </c>
      <c r="J18" s="5">
        <v>0</v>
      </c>
      <c r="K18">
        <f xml:space="preserve"> $D$4 * (H14 - H18)</f>
        <v>-39.27778566452389</v>
      </c>
      <c r="L18" s="6">
        <f t="shared" si="5"/>
        <v>0.22221433547611014</v>
      </c>
      <c r="M18">
        <v>0</v>
      </c>
    </row>
    <row r="19" spans="1:13" ht="17" x14ac:dyDescent="0.25">
      <c r="A19" t="s">
        <v>47</v>
      </c>
      <c r="B19">
        <v>38</v>
      </c>
      <c r="C19">
        <v>0</v>
      </c>
      <c r="D19">
        <v>0</v>
      </c>
      <c r="E19">
        <v>0</v>
      </c>
      <c r="F19">
        <v>0</v>
      </c>
      <c r="G19">
        <v>0</v>
      </c>
      <c r="H19">
        <v>320.79497475423187</v>
      </c>
      <c r="I19">
        <v>0</v>
      </c>
      <c r="J19" s="5">
        <v>0</v>
      </c>
      <c r="K19" s="12">
        <f xml:space="preserve"> $D$4 * (H15 - H19)</f>
        <v>-37.801970616525296</v>
      </c>
      <c r="L19" s="6">
        <f t="shared" si="5"/>
        <v>0.19802938347470445</v>
      </c>
      <c r="M19">
        <v>0</v>
      </c>
    </row>
    <row r="21" spans="1:13" x14ac:dyDescent="0.2">
      <c r="L21" t="s">
        <v>26</v>
      </c>
      <c r="M21" s="6">
        <f>L10^2+L11^2+L12^2+L13^2+L14^2+L15^2+L16^2+L17^2+L18^2+L19^2</f>
        <v>0.39258728435968959</v>
      </c>
    </row>
    <row r="24" spans="1:13" x14ac:dyDescent="0.2">
      <c r="I24" s="17" t="s">
        <v>73</v>
      </c>
      <c r="J24" s="16"/>
      <c r="K24" s="4">
        <f>SUM(K10:K19)</f>
        <v>0</v>
      </c>
    </row>
    <row r="26" spans="1:13" x14ac:dyDescent="0.2">
      <c r="G26" t="s">
        <v>67</v>
      </c>
      <c r="H26" t="s">
        <v>68</v>
      </c>
      <c r="I26" t="s">
        <v>69</v>
      </c>
      <c r="J26" t="s">
        <v>70</v>
      </c>
      <c r="K26" t="s">
        <v>71</v>
      </c>
      <c r="L26" t="s">
        <v>72</v>
      </c>
    </row>
    <row r="27" spans="1:13" x14ac:dyDescent="0.2">
      <c r="G27" t="s">
        <v>14</v>
      </c>
      <c r="H27" t="s">
        <v>48</v>
      </c>
      <c r="I27" t="s">
        <v>49</v>
      </c>
      <c r="K27" t="s">
        <v>59</v>
      </c>
      <c r="L27" t="s">
        <v>60</v>
      </c>
    </row>
    <row r="28" spans="1:13" x14ac:dyDescent="0.2">
      <c r="G28" t="s">
        <v>8</v>
      </c>
      <c r="H28">
        <f t="shared" ref="H28:H35" si="6">H10-273.15</f>
        <v>40.353036289512318</v>
      </c>
      <c r="I28" t="s">
        <v>50</v>
      </c>
    </row>
    <row r="29" spans="1:13" x14ac:dyDescent="0.2">
      <c r="G29" t="s">
        <v>9</v>
      </c>
      <c r="H29">
        <f t="shared" si="6"/>
        <v>-22.103589622930485</v>
      </c>
      <c r="I29" t="s">
        <v>51</v>
      </c>
    </row>
    <row r="30" spans="1:13" x14ac:dyDescent="0.2">
      <c r="G30" t="s">
        <v>10</v>
      </c>
      <c r="H30">
        <f t="shared" si="6"/>
        <v>64.357482949322105</v>
      </c>
      <c r="I30" t="s">
        <v>52</v>
      </c>
    </row>
    <row r="31" spans="1:13" x14ac:dyDescent="0.2">
      <c r="G31" t="s">
        <v>11</v>
      </c>
      <c r="H31">
        <f t="shared" si="6"/>
        <v>32.997911855964219</v>
      </c>
      <c r="I31" t="s">
        <v>53</v>
      </c>
    </row>
    <row r="32" spans="1:13" x14ac:dyDescent="0.2">
      <c r="G32" t="s">
        <v>12</v>
      </c>
      <c r="H32">
        <f t="shared" si="6"/>
        <v>46.472483299621047</v>
      </c>
      <c r="I32" t="s">
        <v>54</v>
      </c>
    </row>
    <row r="33" spans="1:12" x14ac:dyDescent="0.2">
      <c r="G33" t="s">
        <v>13</v>
      </c>
      <c r="H33">
        <f t="shared" si="6"/>
        <v>45.754876223405631</v>
      </c>
      <c r="I33" t="s">
        <v>55</v>
      </c>
    </row>
    <row r="34" spans="1:12" x14ac:dyDescent="0.2">
      <c r="G34" t="s">
        <v>31</v>
      </c>
      <c r="H34">
        <f t="shared" si="6"/>
        <v>18.27039057509478</v>
      </c>
      <c r="I34" t="s">
        <v>56</v>
      </c>
      <c r="K34" s="13" t="s">
        <v>65</v>
      </c>
      <c r="L34" t="s">
        <v>66</v>
      </c>
    </row>
    <row r="35" spans="1:12" x14ac:dyDescent="0.2">
      <c r="G35" t="s">
        <v>58</v>
      </c>
      <c r="H35">
        <f t="shared" si="6"/>
        <v>34.039817343334505</v>
      </c>
      <c r="I35" s="9"/>
      <c r="J35" s="9"/>
      <c r="K35" s="13" t="s">
        <v>61</v>
      </c>
      <c r="L35" t="s">
        <v>66</v>
      </c>
    </row>
    <row r="36" spans="1:12" x14ac:dyDescent="0.2">
      <c r="G36" t="s">
        <v>57</v>
      </c>
      <c r="H36">
        <f>$H$17-273.15</f>
        <v>34.039817343334505</v>
      </c>
      <c r="I36" s="9"/>
      <c r="J36" s="9"/>
      <c r="K36" s="13" t="s">
        <v>62</v>
      </c>
      <c r="L36" t="s">
        <v>66</v>
      </c>
    </row>
    <row r="37" spans="1:12" x14ac:dyDescent="0.2">
      <c r="G37" t="s">
        <v>46</v>
      </c>
      <c r="H37">
        <f>$H$18-273.15</f>
        <v>48.436372582847241</v>
      </c>
      <c r="I37" s="9"/>
      <c r="J37" s="9"/>
      <c r="K37" s="13" t="s">
        <v>63</v>
      </c>
      <c r="L37" t="s">
        <v>66</v>
      </c>
    </row>
    <row r="38" spans="1:12" x14ac:dyDescent="0.2">
      <c r="A38" t="s">
        <v>79</v>
      </c>
      <c r="G38" t="s">
        <v>47</v>
      </c>
      <c r="H38">
        <f>$H$19-273.15</f>
        <v>47.644974754231896</v>
      </c>
      <c r="I38" s="9"/>
      <c r="J38" s="9"/>
      <c r="K38" s="13" t="s">
        <v>64</v>
      </c>
      <c r="L38" t="s">
        <v>66</v>
      </c>
    </row>
  </sheetData>
  <scenarios current="0">
    <scenario name="Premier scénario" count="6" user="Joshua N'Tsougan" comment="Créé par Joshua N'Tsougan le 2/21/2026">
      <inputCells r="H10" val="306,272888129382"/>
      <inputCells r="H11" val="278,2892730402"/>
      <inputCells r="H12" val="290,882011498968"/>
      <inputCells r="H13" val="293,608138285612"/>
      <inputCells r="H14" val="305,312314940725"/>
      <inputCells r="H15" val="294,262199819745"/>
    </scenario>
    <scenario name="Bonne résolution" count="6" user="Joshua N'Tsougan" comment="Créé par Joshua N'Tsougan le 2/22/2026">
      <inputCells r="H10" val="291.207239323656"/>
      <inputCells r="H11" val="275.789145530121"/>
      <inputCells r="H12" val="283.52604339527"/>
      <inputCells r="H13" val="286.282061306587"/>
      <inputCells r="H14" val="298.083610242659"/>
      <inputCells r="H15" val="286.904233626365"/>
    </scenario>
    <scenario name="Finally" count="6" user="Joshua N'Tsougan" comment="Créé par Joshua N'Tsougan le 3/6/2026">
      <inputCells r="H10" val="487,426670957844"/>
      <inputCells r="H11" val="304,933490950486"/>
      <inputCells r="H12" val="642,141553286357"/>
      <inputCells r="H13" val="399,196290597977"/>
      <inputCells r="H14" val="447,243332130417"/>
      <inputCells r="H15" val="438,140566942588"/>
    </scenario>
  </scenarios>
  <mergeCells count="2">
    <mergeCell ref="E3:G5"/>
    <mergeCell ref="I24:J24"/>
  </mergeCells>
  <pageMargins left="0.7" right="0.7" top="0.75" bottom="0.75" header="0.3" footer="0.3"/>
  <ignoredErrors>
    <ignoredError sqref="S11" formula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9B0B6-370A-9E40-8EFC-B7BDFD75AED3}">
  <sheetPr>
    <tabColor theme="5" tint="0.59999389629810485"/>
  </sheetPr>
  <dimension ref="B2:V39"/>
  <sheetViews>
    <sheetView tabSelected="1" zoomScale="83" workbookViewId="0">
      <selection activeCell="C5" sqref="C5"/>
    </sheetView>
  </sheetViews>
  <sheetFormatPr baseColWidth="10" defaultRowHeight="16" x14ac:dyDescent="0.2"/>
  <cols>
    <col min="6" max="6" width="12.1640625" bestFit="1" customWidth="1"/>
    <col min="7" max="7" width="16.33203125" customWidth="1"/>
    <col min="8" max="8" width="28.5" customWidth="1"/>
  </cols>
  <sheetData>
    <row r="2" spans="2:22" x14ac:dyDescent="0.2">
      <c r="B2" t="s">
        <v>81</v>
      </c>
      <c r="C2">
        <v>5.4</v>
      </c>
    </row>
    <row r="3" spans="2:22" x14ac:dyDescent="0.2">
      <c r="B3" t="s">
        <v>82</v>
      </c>
      <c r="C3">
        <v>900</v>
      </c>
    </row>
    <row r="4" spans="2:22" x14ac:dyDescent="0.2">
      <c r="B4" t="s">
        <v>83</v>
      </c>
      <c r="C4">
        <f>30</f>
        <v>30</v>
      </c>
    </row>
    <row r="5" spans="2:22" x14ac:dyDescent="0.2">
      <c r="B5" t="s">
        <v>84</v>
      </c>
      <c r="C5">
        <f>-22</f>
        <v>-22</v>
      </c>
      <c r="F5" t="s">
        <v>80</v>
      </c>
      <c r="G5">
        <f>C2*C3*((C4-C5))/(C6*C7*C8*COS(C9))</f>
        <v>1273.0203505943985</v>
      </c>
      <c r="H5" s="19" t="s">
        <v>89</v>
      </c>
    </row>
    <row r="6" spans="2:22" x14ac:dyDescent="0.2">
      <c r="B6" t="s">
        <v>85</v>
      </c>
      <c r="C6">
        <v>1418</v>
      </c>
      <c r="H6" s="18" t="s">
        <v>91</v>
      </c>
      <c r="I6" s="18"/>
    </row>
    <row r="7" spans="2:22" ht="55" customHeight="1" x14ac:dyDescent="0.2">
      <c r="B7" t="s">
        <v>86</v>
      </c>
      <c r="C7">
        <v>0.14000000000000001</v>
      </c>
      <c r="H7" s="18"/>
      <c r="I7" s="18"/>
    </row>
    <row r="8" spans="2:22" x14ac:dyDescent="0.2">
      <c r="B8" t="s">
        <v>87</v>
      </c>
      <c r="C8">
        <v>1</v>
      </c>
    </row>
    <row r="9" spans="2:22" x14ac:dyDescent="0.2">
      <c r="B9" t="s">
        <v>88</v>
      </c>
      <c r="C9">
        <f>RADIANS(0)</f>
        <v>0</v>
      </c>
      <c r="K9" s="16" t="e" vm="1">
        <v>#VALUE!</v>
      </c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</row>
    <row r="10" spans="2:22" x14ac:dyDescent="0.2">
      <c r="H10" s="16" t="s">
        <v>90</v>
      </c>
      <c r="I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</row>
    <row r="11" spans="2:22" x14ac:dyDescent="0.2">
      <c r="H11" s="16"/>
      <c r="I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</row>
    <row r="12" spans="2:22" x14ac:dyDescent="0.2"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</row>
    <row r="13" spans="2:22" x14ac:dyDescent="0.2"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</row>
    <row r="14" spans="2:22" x14ac:dyDescent="0.2"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</row>
    <row r="15" spans="2:22" x14ac:dyDescent="0.2"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</row>
    <row r="16" spans="2:22" x14ac:dyDescent="0.2"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</row>
    <row r="17" spans="6:22" x14ac:dyDescent="0.2"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</row>
    <row r="18" spans="6:22" x14ac:dyDescent="0.2"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</row>
    <row r="19" spans="6:22" x14ac:dyDescent="0.2"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</row>
    <row r="20" spans="6:22" x14ac:dyDescent="0.2">
      <c r="F20" t="s">
        <v>92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</row>
    <row r="21" spans="6:22" x14ac:dyDescent="0.2"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</row>
    <row r="22" spans="6:22" x14ac:dyDescent="0.2"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</row>
    <row r="23" spans="6:22" x14ac:dyDescent="0.2"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</row>
    <row r="24" spans="6:22" x14ac:dyDescent="0.2"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</row>
    <row r="25" spans="6:22" x14ac:dyDescent="0.2"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</row>
    <row r="26" spans="6:22" x14ac:dyDescent="0.2"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 spans="6:22" x14ac:dyDescent="0.2"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</row>
    <row r="28" spans="6:22" x14ac:dyDescent="0.2"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spans="6:22" x14ac:dyDescent="0.2"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 spans="6:22" x14ac:dyDescent="0.2"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</row>
    <row r="31" spans="6:22" x14ac:dyDescent="0.2"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</row>
    <row r="32" spans="6:22" x14ac:dyDescent="0.2"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</row>
    <row r="33" spans="11:22" x14ac:dyDescent="0.2"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</row>
    <row r="34" spans="11:22" x14ac:dyDescent="0.2"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</row>
    <row r="35" spans="11:22" x14ac:dyDescent="0.2"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</row>
    <row r="36" spans="11:22" x14ac:dyDescent="0.2"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</row>
    <row r="37" spans="11:22" x14ac:dyDescent="0.2"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</row>
    <row r="38" spans="11:22" x14ac:dyDescent="0.2"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</row>
    <row r="39" spans="11:22" x14ac:dyDescent="0.2"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</row>
  </sheetData>
  <mergeCells count="3">
    <mergeCell ref="H6:I7"/>
    <mergeCell ref="H10:I11"/>
    <mergeCell ref="K9:V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Rapport de faisabilité 1</vt:lpstr>
      <vt:lpstr>Feuil1</vt:lpstr>
      <vt:lpstr>Transient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Kodjo Joshua Mercy N'Tsougan</dc:creator>
  <cp:lastModifiedBy>Kodjo Joshua Mercy N'Tsougan</cp:lastModifiedBy>
  <dcterms:created xsi:type="dcterms:W3CDTF">2026-02-21T17:19:08Z</dcterms:created>
  <dcterms:modified xsi:type="dcterms:W3CDTF">2026-03-20T20:34:42Z</dcterms:modified>
</cp:coreProperties>
</file>